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rma\OneDrive\Desktop\Employee Learning &amp; Performance Analytics project\"/>
    </mc:Choice>
  </mc:AlternateContent>
  <bookViews>
    <workbookView xWindow="0" yWindow="0" windowWidth="19200" windowHeight="7190"/>
  </bookViews>
  <sheets>
    <sheet name="Sheet1" sheetId="1" r:id="rId1"/>
    <sheet name="Dashboard_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2" i="2"/>
  <c r="B6" i="2"/>
  <c r="B7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M4" i="1"/>
  <c r="M3" i="1"/>
</calcChain>
</file>

<file path=xl/sharedStrings.xml><?xml version="1.0" encoding="utf-8"?>
<sst xmlns="http://schemas.openxmlformats.org/spreadsheetml/2006/main" count="283" uniqueCount="120">
  <si>
    <t>Employee_ID</t>
  </si>
  <si>
    <t>Employee_Name</t>
  </si>
  <si>
    <t>Department</t>
  </si>
  <si>
    <t>Location</t>
  </si>
  <si>
    <t>Job_Level</t>
  </si>
  <si>
    <t>Training_Name</t>
  </si>
  <si>
    <t>Training_Category</t>
  </si>
  <si>
    <t>Training_Date</t>
  </si>
  <si>
    <t>Training_Hours</t>
  </si>
  <si>
    <t>Completion_Status</t>
  </si>
  <si>
    <t>Score</t>
  </si>
  <si>
    <t>Performance_Rating</t>
  </si>
  <si>
    <t>EMP001</t>
  </si>
  <si>
    <t>Arjun Sharma</t>
  </si>
  <si>
    <t>Technology</t>
  </si>
  <si>
    <t>Hyderabad</t>
  </si>
  <si>
    <t>Associate</t>
  </si>
  <si>
    <t>Python Fundamentals</t>
  </si>
  <si>
    <t>Technical</t>
  </si>
  <si>
    <t>Completed</t>
  </si>
  <si>
    <t>EMP002</t>
  </si>
  <si>
    <t>Priya Nair</t>
  </si>
  <si>
    <t>Human Resources</t>
  </si>
  <si>
    <t>Bengaluru</t>
  </si>
  <si>
    <t>Analyst</t>
  </si>
  <si>
    <t>Communication Skills</t>
  </si>
  <si>
    <t>Soft Skills</t>
  </si>
  <si>
    <t>EMP003</t>
  </si>
  <si>
    <t>Rahul Mehta</t>
  </si>
  <si>
    <t>Finance</t>
  </si>
  <si>
    <t>Mumbai</t>
  </si>
  <si>
    <t>Advanced Excel</t>
  </si>
  <si>
    <t>EMP004</t>
  </si>
  <si>
    <t>Sneha Reddy</t>
  </si>
  <si>
    <t>Senior Associate</t>
  </si>
  <si>
    <t>Data Analytics</t>
  </si>
  <si>
    <t>EMP005</t>
  </si>
  <si>
    <t>Vikram Singh</t>
  </si>
  <si>
    <t>Operations</t>
  </si>
  <si>
    <t>Delhi</t>
  </si>
  <si>
    <t>Time Management</t>
  </si>
  <si>
    <t>EMP006</t>
  </si>
  <si>
    <t>Ananya Rao</t>
  </si>
  <si>
    <t>React Development</t>
  </si>
  <si>
    <t>EMP007</t>
  </si>
  <si>
    <t>Karan Patel</t>
  </si>
  <si>
    <t>Pune</t>
  </si>
  <si>
    <t>Power BI Basics</t>
  </si>
  <si>
    <t>Analytics</t>
  </si>
  <si>
    <t>In Progress</t>
  </si>
  <si>
    <t>EMP008</t>
  </si>
  <si>
    <t>Meera Iyer</t>
  </si>
  <si>
    <t>Leadership Essentials</t>
  </si>
  <si>
    <t>Leadership</t>
  </si>
  <si>
    <t>EMP009</t>
  </si>
  <si>
    <t>Rohan Gupta</t>
  </si>
  <si>
    <t>SQL Fundamentals</t>
  </si>
  <si>
    <t>EMP010</t>
  </si>
  <si>
    <t>Kavya Menon</t>
  </si>
  <si>
    <t>Project Management</t>
  </si>
  <si>
    <t>Management</t>
  </si>
  <si>
    <t>EMP011</t>
  </si>
  <si>
    <t>Aditya Verma</t>
  </si>
  <si>
    <t>Cloud Fundamentals</t>
  </si>
  <si>
    <t>EMP012</t>
  </si>
  <si>
    <t>Neha Kapoor</t>
  </si>
  <si>
    <t>Financial Analysis</t>
  </si>
  <si>
    <t>Not Started</t>
  </si>
  <si>
    <t>EMP013</t>
  </si>
  <si>
    <t>Sanjay Kumar</t>
  </si>
  <si>
    <t>EMP014</t>
  </si>
  <si>
    <t>Ishita Shah</t>
  </si>
  <si>
    <t>JavaScript Essentials</t>
  </si>
  <si>
    <t>EMP015</t>
  </si>
  <si>
    <t>Manish Joshi</t>
  </si>
  <si>
    <t>EMP016</t>
  </si>
  <si>
    <t>Divya Krishnan</t>
  </si>
  <si>
    <t>EMP017</t>
  </si>
  <si>
    <t>Nikhil Das</t>
  </si>
  <si>
    <t>EMP018</t>
  </si>
  <si>
    <t>Pooja Sethi</t>
  </si>
  <si>
    <t>EMP019</t>
  </si>
  <si>
    <t>Akash Bhat</t>
  </si>
  <si>
    <t>EMP020</t>
  </si>
  <si>
    <t>Shreya Pillai</t>
  </si>
  <si>
    <t>EMP021</t>
  </si>
  <si>
    <t>Ravi Reddy</t>
  </si>
  <si>
    <t>EMP022</t>
  </si>
  <si>
    <t>Simran Kaur</t>
  </si>
  <si>
    <t>EMP023</t>
  </si>
  <si>
    <t>Harish Rao</t>
  </si>
  <si>
    <t>EMP024</t>
  </si>
  <si>
    <t>Aisha Khan</t>
  </si>
  <si>
    <t>EMP025</t>
  </si>
  <si>
    <t>Varun Malhotra</t>
  </si>
  <si>
    <t>EMP026</t>
  </si>
  <si>
    <t>Nandini Rao</t>
  </si>
  <si>
    <t>EMP027</t>
  </si>
  <si>
    <t>Deepak Yadav</t>
  </si>
  <si>
    <t>EMP028</t>
  </si>
  <si>
    <t>Ritika Jain</t>
  </si>
  <si>
    <t>EMP029</t>
  </si>
  <si>
    <t>Siddharth Roy</t>
  </si>
  <si>
    <t>EMP030</t>
  </si>
  <si>
    <t>Swati Agarwal</t>
  </si>
  <si>
    <t>Data_Quality_Check</t>
  </si>
  <si>
    <t>Metric</t>
  </si>
  <si>
    <t>Value</t>
  </si>
  <si>
    <t>Total Employees</t>
  </si>
  <si>
    <t>Completed Training</t>
  </si>
  <si>
    <t>Average Score</t>
  </si>
  <si>
    <t>Total Training Hours</t>
  </si>
  <si>
    <t>Average Performance Rating</t>
  </si>
  <si>
    <t>Training Category</t>
  </si>
  <si>
    <t>Data Quality Metric</t>
  </si>
  <si>
    <t>Total Records</t>
  </si>
  <si>
    <t>Valid Records</t>
  </si>
  <si>
    <t>Records Requiring Check</t>
  </si>
  <si>
    <t>Data Quality Rate</t>
  </si>
  <si>
    <t>EMPLOYEE LEARNING &amp;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</si>
</sst>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0" borderId="0" xfId="0" applyNumberForma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 Completion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Dashboard_Data!$A$3:$A$5</c:f>
              <c:strCache>
                <c:ptCount val="3"/>
                <c:pt idx="0">
                  <c:v>Completed Training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Dashboard_Data!$B$3:$B$5</c:f>
              <c:numCache>
                <c:formatCode>General</c:formatCode>
                <c:ptCount val="3"/>
                <c:pt idx="0">
                  <c:v>25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355216"/>
        <c:axId val="357356304"/>
      </c:barChart>
      <c:catAx>
        <c:axId val="3573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56304"/>
        <c:crosses val="autoZero"/>
        <c:auto val="1"/>
        <c:lblAlgn val="ctr"/>
        <c:lblOffset val="100"/>
        <c:noMultiLvlLbl val="0"/>
      </c:catAx>
      <c:valAx>
        <c:axId val="3573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5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Dashboard_Data!$E$1</c:f>
              <c:strCache>
                <c:ptCount val="1"/>
                <c:pt idx="0">
                  <c:v>Average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Dashboard_Data!$D$2:$D$5</c:f>
              <c:strCache>
                <c:ptCount val="4"/>
                <c:pt idx="0">
                  <c:v>Technology</c:v>
                </c:pt>
                <c:pt idx="1">
                  <c:v>Human Resources</c:v>
                </c:pt>
                <c:pt idx="2">
                  <c:v>Finance</c:v>
                </c:pt>
                <c:pt idx="3">
                  <c:v>Operations</c:v>
                </c:pt>
              </c:strCache>
            </c:strRef>
          </c:cat>
          <c:val>
            <c:numRef>
              <c:f>Dashboard_Data!$E$2:$E$5</c:f>
              <c:numCache>
                <c:formatCode>General</c:formatCode>
                <c:ptCount val="4"/>
                <c:pt idx="0">
                  <c:v>87.83</c:v>
                </c:pt>
                <c:pt idx="1">
                  <c:v>88.6</c:v>
                </c:pt>
                <c:pt idx="2">
                  <c:v>75.5</c:v>
                </c:pt>
                <c:pt idx="3">
                  <c:v>82.67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562352"/>
        <c:axId val="357561264"/>
      </c:barChart>
      <c:catAx>
        <c:axId val="357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61264"/>
        <c:crosses val="autoZero"/>
        <c:auto val="1"/>
        <c:lblAlgn val="ctr"/>
        <c:lblOffset val="100"/>
        <c:noMultiLvlLbl val="0"/>
      </c:catAx>
      <c:valAx>
        <c:axId val="3575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 Hours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Dashboard_Data!$I$1</c:f>
              <c:strCache>
                <c:ptCount val="1"/>
                <c:pt idx="0">
                  <c:v>Total Training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Dashboard_Data!$H$2:$H$6</c:f>
              <c:strCache>
                <c:ptCount val="5"/>
                <c:pt idx="0">
                  <c:v>Technical</c:v>
                </c:pt>
                <c:pt idx="1">
                  <c:v>Soft Skills</c:v>
                </c:pt>
                <c:pt idx="2">
                  <c:v>Analytics</c:v>
                </c:pt>
                <c:pt idx="3">
                  <c:v>Leadership</c:v>
                </c:pt>
                <c:pt idx="4">
                  <c:v>Management</c:v>
                </c:pt>
              </c:strCache>
            </c:strRef>
          </c:cat>
          <c:val>
            <c:numRef>
              <c:f>Dashboard_Data!$I$2:$I$6</c:f>
              <c:numCache>
                <c:formatCode>General</c:formatCode>
                <c:ptCount val="5"/>
                <c:pt idx="0">
                  <c:v>141</c:v>
                </c:pt>
                <c:pt idx="1">
                  <c:v>18</c:v>
                </c:pt>
                <c:pt idx="2">
                  <c:v>42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356272"/>
        <c:axId val="1084355184"/>
      </c:barChart>
      <c:catAx>
        <c:axId val="108435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55184"/>
        <c:crosses val="autoZero"/>
        <c:auto val="1"/>
        <c:lblAlgn val="ctr"/>
        <c:lblOffset val="100"/>
        <c:noMultiLvlLbl val="0"/>
      </c:catAx>
      <c:valAx>
        <c:axId val="10843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5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 Quality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Dashboard_Data!$L$1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Dashboard_Data!$K$2:$K$5</c:f>
              <c:strCache>
                <c:ptCount val="4"/>
                <c:pt idx="0">
                  <c:v>Total Records</c:v>
                </c:pt>
                <c:pt idx="1">
                  <c:v>Valid Records</c:v>
                </c:pt>
                <c:pt idx="2">
                  <c:v>Records Requiring Check</c:v>
                </c:pt>
                <c:pt idx="3">
                  <c:v>Data Quality Rate</c:v>
                </c:pt>
              </c:strCache>
            </c:strRef>
          </c:cat>
          <c:val>
            <c:numRef>
              <c:f>Dashboard_Data!$L$2:$L$5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0</c:v>
                </c:pt>
                <c:pt idx="3" formatCode="0%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794992"/>
        <c:axId val="42793904"/>
      </c:barChart>
      <c:catAx>
        <c:axId val="4279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3904"/>
        <c:crosses val="autoZero"/>
        <c:auto val="1"/>
        <c:lblAlgn val="ctr"/>
        <c:lblOffset val="100"/>
        <c:noMultiLvlLbl val="0"/>
      </c:catAx>
      <c:valAx>
        <c:axId val="4279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10</xdr:row>
      <xdr:rowOff>158750</xdr:rowOff>
    </xdr:from>
    <xdr:to>
      <xdr:col>1</xdr:col>
      <xdr:colOff>688975</xdr:colOff>
      <xdr:row>26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133349</xdr:colOff>
      <xdr:row>6</xdr:row>
      <xdr:rowOff>107950</xdr:rowOff>
    </xdr:from>
    <xdr:to>
      <xdr:col>6</xdr:col>
      <xdr:colOff>22224</xdr:colOff>
      <xdr:row>21</xdr:row>
      <xdr:rowOff>88900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431799</xdr:colOff>
      <xdr:row>8</xdr:row>
      <xdr:rowOff>50800</xdr:rowOff>
    </xdr:from>
    <xdr:to>
      <xdr:col>9</xdr:col>
      <xdr:colOff>41274</xdr:colOff>
      <xdr:row>21</xdr:row>
      <xdr:rowOff>25400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444499</xdr:colOff>
      <xdr:row>7</xdr:row>
      <xdr:rowOff>165100</xdr:rowOff>
    </xdr:from>
    <xdr:to>
      <xdr:col>13</xdr:col>
      <xdr:colOff>479424</xdr:colOff>
      <xdr:row>20</xdr:row>
      <xdr:rowOff>165100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Table5" displayName="Table5" ref="A1:M31" totalsRowShown="0">
  <autoFilter ref="A1:M31"/>
  <tableColumns count="13">
    <tableColumn id="1" name="Employee_ID"/>
    <tableColumn id="2" name="Employee_Name"/>
    <tableColumn id="3" name="Department"/>
    <tableColumn id="4" name="Location"/>
    <tableColumn id="5" name="Job_Level"/>
    <tableColumn id="6" name="Training_Name"/>
    <tableColumn id="7" name="Training_Category"/>
    <tableColumn id="8" name="Training_Date" dataDxfId="0"/>
    <tableColumn id="9" name="Training_Hours"/>
    <tableColumn id="10" name="Completion_Status"/>
    <tableColumn id="11" name="Score"/>
    <tableColumn id="12" name="Performance_Rating"/>
    <tableColumn id="13" name="Data_Quality_Check">
      <calculatedColumnFormula>IF(AND(I1&gt;=0,I1&lt;=100,K1&gt;=0,K1&lt;=100,L1&gt;=1,L1&lt;=5),"Valid","Check")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8" totalsRowShown="0" headerRowDxfId="1">
  <autoFilter ref="A1:B8"/>
  <tableColumns count="2">
    <tableColumn id="1" name="Metric" dataDxfId="3"/>
    <tableColumn id="2" name="Valu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D1:F5" totalsRowShown="0">
  <autoFilter ref="D1:F5"/>
  <tableColumns count="3">
    <tableColumn id="1" name="Department"/>
    <tableColumn id="2" name="Average Score"/>
    <tableColumn id="3" name="Average Performance 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H1:I6" totalsRowShown="0">
  <autoFilter ref="H1:I6"/>
  <tableColumns count="2">
    <tableColumn id="1" name="Training Category"/>
    <tableColumn id="2" name="Total Training Hou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K1:L5" totalsRowShown="0">
  <autoFilter ref="K1:L5"/>
  <tableColumns count="2">
    <tableColumn id="1" name="Data Quality 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E11" sqref="E11"/>
    </sheetView>
  </sheetViews>
  <sheetFormatPr defaultRowHeight="14.5" x14ac:dyDescent="0.35"/>
  <cols>
    <col min="1" max="1" width="13.81640625" customWidth="1"/>
    <col min="2" max="2" width="16.90625" customWidth="1"/>
    <col min="3" max="3" width="15.90625" bestFit="1" customWidth="1"/>
    <col min="4" max="4" width="10" bestFit="1" customWidth="1"/>
    <col min="5" max="5" width="14.453125" bestFit="1" customWidth="1"/>
    <col min="6" max="6" width="19.08984375" bestFit="1" customWidth="1"/>
    <col min="7" max="7" width="18" customWidth="1"/>
    <col min="8" max="8" width="14.54296875" customWidth="1"/>
    <col min="9" max="9" width="15.54296875" customWidth="1"/>
    <col min="10" max="10" width="18.81640625" customWidth="1"/>
    <col min="12" max="12" width="19.90625" customWidth="1"/>
    <col min="13" max="13" width="19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105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46037</v>
      </c>
      <c r="I2">
        <v>8</v>
      </c>
      <c r="J2" t="s">
        <v>19</v>
      </c>
      <c r="K2">
        <v>86</v>
      </c>
      <c r="L2">
        <v>4</v>
      </c>
      <c r="M2" t="str">
        <f>IF(AND(I2&gt;=0,I2&lt;=100,K2&gt;=0,K2&lt;=100,L2&gt;=1,L2&lt;=5),"Valid","Check")</f>
        <v>Valid</v>
      </c>
    </row>
    <row r="3" spans="1:13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46040</v>
      </c>
      <c r="I3">
        <v>5</v>
      </c>
      <c r="J3" t="s">
        <v>19</v>
      </c>
      <c r="K3">
        <v>91</v>
      </c>
      <c r="L3">
        <v>5</v>
      </c>
      <c r="M3" t="str">
        <f>IF(AND(I2&gt;=0,I2&lt;=100,K2&gt;=0,K2&lt;=100,L2&gt;=1,L2&lt;=5),"Valid","Check")</f>
        <v>Valid</v>
      </c>
    </row>
    <row r="4" spans="1:13" x14ac:dyDescent="0.35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31</v>
      </c>
      <c r="G4" t="s">
        <v>18</v>
      </c>
      <c r="H4" s="1">
        <v>46042</v>
      </c>
      <c r="I4">
        <v>10</v>
      </c>
      <c r="J4" t="s">
        <v>19</v>
      </c>
      <c r="K4">
        <v>78</v>
      </c>
      <c r="L4">
        <v>3</v>
      </c>
      <c r="M4" t="str">
        <f>IF(AND(I3&gt;=0,I3&lt;=100,K3&gt;=0,K3&lt;=100,L3&gt;=1,L3&lt;=5),"Valid","Check")</f>
        <v>Valid</v>
      </c>
    </row>
    <row r="5" spans="1:13" x14ac:dyDescent="0.35">
      <c r="A5" t="s">
        <v>32</v>
      </c>
      <c r="B5" t="s">
        <v>33</v>
      </c>
      <c r="C5" t="s">
        <v>14</v>
      </c>
      <c r="D5" t="s">
        <v>15</v>
      </c>
      <c r="E5" t="s">
        <v>34</v>
      </c>
      <c r="F5" t="s">
        <v>35</v>
      </c>
      <c r="G5" t="s">
        <v>18</v>
      </c>
      <c r="H5" s="1">
        <v>46047</v>
      </c>
      <c r="I5">
        <v>12</v>
      </c>
      <c r="J5" t="s">
        <v>19</v>
      </c>
      <c r="K5">
        <v>94</v>
      </c>
      <c r="L5">
        <v>5</v>
      </c>
      <c r="M5" t="str">
        <f t="shared" ref="M5:M31" si="0">IF(AND(I4&gt;=0,I4&lt;=100,K4&gt;=0,K4&lt;=100,L4&gt;=1,L4&lt;=5),"Valid","Check")</f>
        <v>Valid</v>
      </c>
    </row>
    <row r="6" spans="1:13" x14ac:dyDescent="0.35">
      <c r="A6" t="s">
        <v>36</v>
      </c>
      <c r="B6" t="s">
        <v>37</v>
      </c>
      <c r="C6" t="s">
        <v>38</v>
      </c>
      <c r="D6" t="s">
        <v>39</v>
      </c>
      <c r="E6" t="s">
        <v>24</v>
      </c>
      <c r="F6" t="s">
        <v>40</v>
      </c>
      <c r="G6" t="s">
        <v>26</v>
      </c>
      <c r="H6" s="1">
        <v>46055</v>
      </c>
      <c r="I6">
        <v>4</v>
      </c>
      <c r="J6" t="s">
        <v>19</v>
      </c>
      <c r="K6">
        <v>82</v>
      </c>
      <c r="L6">
        <v>4</v>
      </c>
      <c r="M6" t="str">
        <f t="shared" si="0"/>
        <v>Valid</v>
      </c>
    </row>
    <row r="7" spans="1:13" x14ac:dyDescent="0.35">
      <c r="A7" t="s">
        <v>41</v>
      </c>
      <c r="B7" t="s">
        <v>42</v>
      </c>
      <c r="C7" t="s">
        <v>14</v>
      </c>
      <c r="D7" t="s">
        <v>23</v>
      </c>
      <c r="E7" t="s">
        <v>16</v>
      </c>
      <c r="F7" t="s">
        <v>43</v>
      </c>
      <c r="G7" t="s">
        <v>18</v>
      </c>
      <c r="H7" s="1">
        <v>46058</v>
      </c>
      <c r="I7">
        <v>14</v>
      </c>
      <c r="J7" t="s">
        <v>19</v>
      </c>
      <c r="K7">
        <v>89</v>
      </c>
      <c r="L7">
        <v>4</v>
      </c>
      <c r="M7" t="str">
        <f t="shared" si="0"/>
        <v>Valid</v>
      </c>
    </row>
    <row r="8" spans="1:13" x14ac:dyDescent="0.35">
      <c r="A8" t="s">
        <v>44</v>
      </c>
      <c r="B8" t="s">
        <v>45</v>
      </c>
      <c r="C8" t="s">
        <v>29</v>
      </c>
      <c r="D8" t="s">
        <v>46</v>
      </c>
      <c r="E8" t="s">
        <v>34</v>
      </c>
      <c r="F8" t="s">
        <v>47</v>
      </c>
      <c r="G8" t="s">
        <v>48</v>
      </c>
      <c r="H8" s="1">
        <v>46061</v>
      </c>
      <c r="I8">
        <v>10</v>
      </c>
      <c r="J8" t="s">
        <v>49</v>
      </c>
      <c r="K8">
        <v>72</v>
      </c>
      <c r="L8">
        <v>3</v>
      </c>
      <c r="M8" t="str">
        <f t="shared" si="0"/>
        <v>Valid</v>
      </c>
    </row>
    <row r="9" spans="1:13" x14ac:dyDescent="0.35">
      <c r="A9" t="s">
        <v>50</v>
      </c>
      <c r="B9" t="s">
        <v>51</v>
      </c>
      <c r="C9" t="s">
        <v>22</v>
      </c>
      <c r="D9" t="s">
        <v>15</v>
      </c>
      <c r="E9" t="s">
        <v>16</v>
      </c>
      <c r="F9" t="s">
        <v>52</v>
      </c>
      <c r="G9" t="s">
        <v>53</v>
      </c>
      <c r="H9" s="1">
        <v>46065</v>
      </c>
      <c r="I9">
        <v>6</v>
      </c>
      <c r="J9" t="s">
        <v>19</v>
      </c>
      <c r="K9">
        <v>88</v>
      </c>
      <c r="L9">
        <v>4</v>
      </c>
      <c r="M9" t="str">
        <f t="shared" si="0"/>
        <v>Valid</v>
      </c>
    </row>
    <row r="10" spans="1:13" x14ac:dyDescent="0.35">
      <c r="A10" t="s">
        <v>54</v>
      </c>
      <c r="B10" t="s">
        <v>55</v>
      </c>
      <c r="C10" t="s">
        <v>14</v>
      </c>
      <c r="D10" t="s">
        <v>30</v>
      </c>
      <c r="E10" t="s">
        <v>24</v>
      </c>
      <c r="F10" t="s">
        <v>56</v>
      </c>
      <c r="G10" t="s">
        <v>18</v>
      </c>
      <c r="H10" s="1">
        <v>46068</v>
      </c>
      <c r="I10">
        <v>9</v>
      </c>
      <c r="J10" t="s">
        <v>19</v>
      </c>
      <c r="K10">
        <v>84</v>
      </c>
      <c r="L10">
        <v>4</v>
      </c>
      <c r="M10" t="str">
        <f t="shared" si="0"/>
        <v>Valid</v>
      </c>
    </row>
    <row r="11" spans="1:13" x14ac:dyDescent="0.35">
      <c r="A11" t="s">
        <v>57</v>
      </c>
      <c r="B11" t="s">
        <v>58</v>
      </c>
      <c r="C11" t="s">
        <v>38</v>
      </c>
      <c r="D11" t="s">
        <v>23</v>
      </c>
      <c r="E11" t="s">
        <v>16</v>
      </c>
      <c r="F11" t="s">
        <v>59</v>
      </c>
      <c r="G11" t="s">
        <v>60</v>
      </c>
      <c r="H11" s="1">
        <v>46071</v>
      </c>
      <c r="I11">
        <v>8</v>
      </c>
      <c r="J11" t="s">
        <v>19</v>
      </c>
      <c r="K11">
        <v>92</v>
      </c>
      <c r="L11">
        <v>5</v>
      </c>
      <c r="M11" t="str">
        <f t="shared" si="0"/>
        <v>Valid</v>
      </c>
    </row>
    <row r="12" spans="1:13" x14ac:dyDescent="0.35">
      <c r="A12" t="s">
        <v>61</v>
      </c>
      <c r="B12" t="s">
        <v>62</v>
      </c>
      <c r="C12" t="s">
        <v>14</v>
      </c>
      <c r="D12" t="s">
        <v>15</v>
      </c>
      <c r="E12" t="s">
        <v>34</v>
      </c>
      <c r="F12" t="s">
        <v>63</v>
      </c>
      <c r="G12" t="s">
        <v>18</v>
      </c>
      <c r="H12" s="1">
        <v>46075</v>
      </c>
      <c r="I12">
        <v>12</v>
      </c>
      <c r="J12" t="s">
        <v>19</v>
      </c>
      <c r="K12">
        <v>90</v>
      </c>
      <c r="L12">
        <v>5</v>
      </c>
      <c r="M12" t="str">
        <f t="shared" si="0"/>
        <v>Valid</v>
      </c>
    </row>
    <row r="13" spans="1:13" x14ac:dyDescent="0.35">
      <c r="A13" t="s">
        <v>64</v>
      </c>
      <c r="B13" t="s">
        <v>65</v>
      </c>
      <c r="C13" t="s">
        <v>29</v>
      </c>
      <c r="D13" t="s">
        <v>39</v>
      </c>
      <c r="E13" t="s">
        <v>24</v>
      </c>
      <c r="F13" t="s">
        <v>66</v>
      </c>
      <c r="G13" t="s">
        <v>48</v>
      </c>
      <c r="H13" s="1">
        <v>46078</v>
      </c>
      <c r="I13">
        <v>10</v>
      </c>
      <c r="J13" t="s">
        <v>67</v>
      </c>
      <c r="K13">
        <v>0</v>
      </c>
      <c r="L13">
        <v>3</v>
      </c>
      <c r="M13" t="str">
        <f t="shared" si="0"/>
        <v>Valid</v>
      </c>
    </row>
    <row r="14" spans="1:13" x14ac:dyDescent="0.35">
      <c r="A14" t="s">
        <v>68</v>
      </c>
      <c r="B14" t="s">
        <v>69</v>
      </c>
      <c r="C14" t="s">
        <v>38</v>
      </c>
      <c r="D14" t="s">
        <v>30</v>
      </c>
      <c r="E14" t="s">
        <v>16</v>
      </c>
      <c r="F14" t="s">
        <v>25</v>
      </c>
      <c r="G14" t="s">
        <v>26</v>
      </c>
      <c r="H14" s="1">
        <v>46082</v>
      </c>
      <c r="I14">
        <v>5</v>
      </c>
      <c r="J14" t="s">
        <v>19</v>
      </c>
      <c r="K14">
        <v>76</v>
      </c>
      <c r="L14">
        <v>3</v>
      </c>
      <c r="M14" t="str">
        <f t="shared" si="0"/>
        <v>Valid</v>
      </c>
    </row>
    <row r="15" spans="1:13" x14ac:dyDescent="0.35">
      <c r="A15" t="s">
        <v>70</v>
      </c>
      <c r="B15" t="s">
        <v>71</v>
      </c>
      <c r="C15" t="s">
        <v>14</v>
      </c>
      <c r="D15" t="s">
        <v>46</v>
      </c>
      <c r="E15" t="s">
        <v>16</v>
      </c>
      <c r="F15" t="s">
        <v>72</v>
      </c>
      <c r="G15" t="s">
        <v>18</v>
      </c>
      <c r="H15" s="1">
        <v>46085</v>
      </c>
      <c r="I15">
        <v>10</v>
      </c>
      <c r="J15" t="s">
        <v>19</v>
      </c>
      <c r="K15">
        <v>93</v>
      </c>
      <c r="L15">
        <v>5</v>
      </c>
      <c r="M15" t="str">
        <f t="shared" si="0"/>
        <v>Valid</v>
      </c>
    </row>
    <row r="16" spans="1:13" x14ac:dyDescent="0.35">
      <c r="A16" t="s">
        <v>73</v>
      </c>
      <c r="B16" t="s">
        <v>74</v>
      </c>
      <c r="C16" t="s">
        <v>22</v>
      </c>
      <c r="D16" t="s">
        <v>23</v>
      </c>
      <c r="E16" t="s">
        <v>34</v>
      </c>
      <c r="F16" t="s">
        <v>52</v>
      </c>
      <c r="G16" t="s">
        <v>53</v>
      </c>
      <c r="H16" s="1">
        <v>46089</v>
      </c>
      <c r="I16">
        <v>6</v>
      </c>
      <c r="J16" t="s">
        <v>19</v>
      </c>
      <c r="K16">
        <v>87</v>
      </c>
      <c r="L16">
        <v>4</v>
      </c>
      <c r="M16" t="str">
        <f t="shared" si="0"/>
        <v>Valid</v>
      </c>
    </row>
    <row r="17" spans="1:13" x14ac:dyDescent="0.35">
      <c r="A17" t="s">
        <v>75</v>
      </c>
      <c r="B17" t="s">
        <v>76</v>
      </c>
      <c r="C17" t="s">
        <v>29</v>
      </c>
      <c r="D17" t="s">
        <v>15</v>
      </c>
      <c r="E17" t="s">
        <v>16</v>
      </c>
      <c r="F17" t="s">
        <v>31</v>
      </c>
      <c r="G17" t="s">
        <v>18</v>
      </c>
      <c r="H17" s="1">
        <v>46091</v>
      </c>
      <c r="I17">
        <v>10</v>
      </c>
      <c r="J17" t="s">
        <v>19</v>
      </c>
      <c r="K17">
        <v>81</v>
      </c>
      <c r="L17">
        <v>4</v>
      </c>
      <c r="M17" t="str">
        <f t="shared" si="0"/>
        <v>Valid</v>
      </c>
    </row>
    <row r="18" spans="1:13" x14ac:dyDescent="0.35">
      <c r="A18" t="s">
        <v>77</v>
      </c>
      <c r="B18" t="s">
        <v>78</v>
      </c>
      <c r="C18" t="s">
        <v>14</v>
      </c>
      <c r="D18" t="s">
        <v>39</v>
      </c>
      <c r="E18" t="s">
        <v>24</v>
      </c>
      <c r="F18" t="s">
        <v>35</v>
      </c>
      <c r="G18" t="s">
        <v>48</v>
      </c>
      <c r="H18" s="1">
        <v>46093</v>
      </c>
      <c r="I18">
        <v>12</v>
      </c>
      <c r="J18" t="s">
        <v>49</v>
      </c>
      <c r="K18">
        <v>68</v>
      </c>
      <c r="L18">
        <v>3</v>
      </c>
      <c r="M18" t="str">
        <f t="shared" si="0"/>
        <v>Valid</v>
      </c>
    </row>
    <row r="19" spans="1:13" x14ac:dyDescent="0.35">
      <c r="A19" t="s">
        <v>79</v>
      </c>
      <c r="B19" t="s">
        <v>80</v>
      </c>
      <c r="C19" t="s">
        <v>38</v>
      </c>
      <c r="D19" t="s">
        <v>15</v>
      </c>
      <c r="E19" t="s">
        <v>16</v>
      </c>
      <c r="F19" t="s">
        <v>40</v>
      </c>
      <c r="G19" t="s">
        <v>26</v>
      </c>
      <c r="H19" s="1">
        <v>46096</v>
      </c>
      <c r="I19">
        <v>4</v>
      </c>
      <c r="J19" t="s">
        <v>19</v>
      </c>
      <c r="K19">
        <v>90</v>
      </c>
      <c r="L19">
        <v>5</v>
      </c>
      <c r="M19" t="str">
        <f t="shared" si="0"/>
        <v>Valid</v>
      </c>
    </row>
    <row r="20" spans="1:13" x14ac:dyDescent="0.35">
      <c r="A20" t="s">
        <v>81</v>
      </c>
      <c r="B20" t="s">
        <v>82</v>
      </c>
      <c r="C20" t="s">
        <v>14</v>
      </c>
      <c r="D20" t="s">
        <v>23</v>
      </c>
      <c r="E20" t="s">
        <v>34</v>
      </c>
      <c r="F20" t="s">
        <v>43</v>
      </c>
      <c r="G20" t="s">
        <v>18</v>
      </c>
      <c r="H20" s="1">
        <v>46099</v>
      </c>
      <c r="I20">
        <v>14</v>
      </c>
      <c r="J20" t="s">
        <v>19</v>
      </c>
      <c r="K20">
        <v>95</v>
      </c>
      <c r="L20">
        <v>5</v>
      </c>
      <c r="M20" t="str">
        <f t="shared" si="0"/>
        <v>Valid</v>
      </c>
    </row>
    <row r="21" spans="1:13" x14ac:dyDescent="0.35">
      <c r="A21" t="s">
        <v>83</v>
      </c>
      <c r="B21" t="s">
        <v>84</v>
      </c>
      <c r="C21" t="s">
        <v>29</v>
      </c>
      <c r="D21" t="s">
        <v>30</v>
      </c>
      <c r="E21" t="s">
        <v>16</v>
      </c>
      <c r="F21" t="s">
        <v>47</v>
      </c>
      <c r="G21" t="s">
        <v>48</v>
      </c>
      <c r="H21" s="1">
        <v>46101</v>
      </c>
      <c r="I21">
        <v>10</v>
      </c>
      <c r="J21" t="s">
        <v>19</v>
      </c>
      <c r="K21">
        <v>85</v>
      </c>
      <c r="L21">
        <v>4</v>
      </c>
      <c r="M21" t="str">
        <f t="shared" si="0"/>
        <v>Valid</v>
      </c>
    </row>
    <row r="22" spans="1:13" x14ac:dyDescent="0.35">
      <c r="A22" t="s">
        <v>85</v>
      </c>
      <c r="B22" t="s">
        <v>86</v>
      </c>
      <c r="C22" t="s">
        <v>14</v>
      </c>
      <c r="D22" t="s">
        <v>15</v>
      </c>
      <c r="E22" t="s">
        <v>16</v>
      </c>
      <c r="F22" t="s">
        <v>56</v>
      </c>
      <c r="G22" t="s">
        <v>18</v>
      </c>
      <c r="H22" s="1">
        <v>46113</v>
      </c>
      <c r="I22">
        <v>9</v>
      </c>
      <c r="J22" t="s">
        <v>19</v>
      </c>
      <c r="K22">
        <v>79</v>
      </c>
      <c r="L22">
        <v>3</v>
      </c>
      <c r="M22" t="str">
        <f t="shared" si="0"/>
        <v>Valid</v>
      </c>
    </row>
    <row r="23" spans="1:13" x14ac:dyDescent="0.35">
      <c r="A23" t="s">
        <v>87</v>
      </c>
      <c r="B23" t="s">
        <v>88</v>
      </c>
      <c r="C23" t="s">
        <v>22</v>
      </c>
      <c r="D23" t="s">
        <v>39</v>
      </c>
      <c r="E23" t="s">
        <v>24</v>
      </c>
      <c r="F23" t="s">
        <v>25</v>
      </c>
      <c r="G23" t="s">
        <v>26</v>
      </c>
      <c r="H23" s="1">
        <v>46116</v>
      </c>
      <c r="I23">
        <v>5</v>
      </c>
      <c r="J23" t="s">
        <v>19</v>
      </c>
      <c r="K23">
        <v>88</v>
      </c>
      <c r="L23">
        <v>4</v>
      </c>
      <c r="M23" t="str">
        <f t="shared" si="0"/>
        <v>Valid</v>
      </c>
    </row>
    <row r="24" spans="1:13" x14ac:dyDescent="0.35">
      <c r="A24" t="s">
        <v>89</v>
      </c>
      <c r="B24" t="s">
        <v>90</v>
      </c>
      <c r="C24" t="s">
        <v>38</v>
      </c>
      <c r="D24" t="s">
        <v>46</v>
      </c>
      <c r="E24" t="s">
        <v>34</v>
      </c>
      <c r="F24" t="s">
        <v>59</v>
      </c>
      <c r="G24" t="s">
        <v>60</v>
      </c>
      <c r="H24" s="1">
        <v>46119</v>
      </c>
      <c r="I24">
        <v>8</v>
      </c>
      <c r="J24" t="s">
        <v>19</v>
      </c>
      <c r="K24">
        <v>91</v>
      </c>
      <c r="L24">
        <v>5</v>
      </c>
      <c r="M24" t="str">
        <f t="shared" si="0"/>
        <v>Valid</v>
      </c>
    </row>
    <row r="25" spans="1:13" x14ac:dyDescent="0.35">
      <c r="A25" t="s">
        <v>91</v>
      </c>
      <c r="B25" t="s">
        <v>92</v>
      </c>
      <c r="C25" t="s">
        <v>14</v>
      </c>
      <c r="D25" t="s">
        <v>30</v>
      </c>
      <c r="E25" t="s">
        <v>16</v>
      </c>
      <c r="F25" t="s">
        <v>17</v>
      </c>
      <c r="G25" t="s">
        <v>18</v>
      </c>
      <c r="H25" s="1">
        <v>46122</v>
      </c>
      <c r="I25">
        <v>8</v>
      </c>
      <c r="J25" t="s">
        <v>67</v>
      </c>
      <c r="K25">
        <v>0</v>
      </c>
      <c r="L25">
        <v>3</v>
      </c>
      <c r="M25" t="str">
        <f t="shared" si="0"/>
        <v>Valid</v>
      </c>
    </row>
    <row r="26" spans="1:13" x14ac:dyDescent="0.35">
      <c r="A26" t="s">
        <v>93</v>
      </c>
      <c r="B26" t="s">
        <v>94</v>
      </c>
      <c r="C26" t="s">
        <v>29</v>
      </c>
      <c r="D26" t="s">
        <v>23</v>
      </c>
      <c r="E26" t="s">
        <v>24</v>
      </c>
      <c r="F26" t="s">
        <v>66</v>
      </c>
      <c r="G26" t="s">
        <v>48</v>
      </c>
      <c r="H26" s="1">
        <v>46124</v>
      </c>
      <c r="I26">
        <v>10</v>
      </c>
      <c r="J26" t="s">
        <v>19</v>
      </c>
      <c r="K26">
        <v>83</v>
      </c>
      <c r="L26">
        <v>4</v>
      </c>
      <c r="M26" t="str">
        <f t="shared" si="0"/>
        <v>Valid</v>
      </c>
    </row>
    <row r="27" spans="1:13" x14ac:dyDescent="0.35">
      <c r="A27" t="s">
        <v>95</v>
      </c>
      <c r="B27" t="s">
        <v>96</v>
      </c>
      <c r="C27" t="s">
        <v>14</v>
      </c>
      <c r="D27" t="s">
        <v>15</v>
      </c>
      <c r="E27" t="s">
        <v>34</v>
      </c>
      <c r="F27" t="s">
        <v>63</v>
      </c>
      <c r="G27" t="s">
        <v>18</v>
      </c>
      <c r="H27" s="1">
        <v>46127</v>
      </c>
      <c r="I27">
        <v>12</v>
      </c>
      <c r="J27" t="s">
        <v>19</v>
      </c>
      <c r="K27">
        <v>96</v>
      </c>
      <c r="L27">
        <v>5</v>
      </c>
      <c r="M27" t="str">
        <f t="shared" si="0"/>
        <v>Valid</v>
      </c>
    </row>
    <row r="28" spans="1:13" x14ac:dyDescent="0.35">
      <c r="A28" t="s">
        <v>97</v>
      </c>
      <c r="B28" t="s">
        <v>98</v>
      </c>
      <c r="C28" t="s">
        <v>38</v>
      </c>
      <c r="D28" t="s">
        <v>39</v>
      </c>
      <c r="E28" t="s">
        <v>16</v>
      </c>
      <c r="F28" t="s">
        <v>40</v>
      </c>
      <c r="G28" t="s">
        <v>26</v>
      </c>
      <c r="H28" s="1">
        <v>46130</v>
      </c>
      <c r="I28">
        <v>4</v>
      </c>
      <c r="J28" t="s">
        <v>49</v>
      </c>
      <c r="K28">
        <v>65</v>
      </c>
      <c r="L28">
        <v>3</v>
      </c>
      <c r="M28" t="str">
        <f t="shared" si="0"/>
        <v>Valid</v>
      </c>
    </row>
    <row r="29" spans="1:13" x14ac:dyDescent="0.35">
      <c r="A29" t="s">
        <v>99</v>
      </c>
      <c r="B29" t="s">
        <v>100</v>
      </c>
      <c r="C29" t="s">
        <v>22</v>
      </c>
      <c r="D29" t="s">
        <v>30</v>
      </c>
      <c r="E29" t="s">
        <v>16</v>
      </c>
      <c r="F29" t="s">
        <v>52</v>
      </c>
      <c r="G29" t="s">
        <v>53</v>
      </c>
      <c r="H29" s="1">
        <v>46132</v>
      </c>
      <c r="I29">
        <v>6</v>
      </c>
      <c r="J29" t="s">
        <v>19</v>
      </c>
      <c r="K29">
        <v>89</v>
      </c>
      <c r="L29">
        <v>4</v>
      </c>
      <c r="M29" t="str">
        <f t="shared" si="0"/>
        <v>Valid</v>
      </c>
    </row>
    <row r="30" spans="1:13" x14ac:dyDescent="0.35">
      <c r="A30" t="s">
        <v>101</v>
      </c>
      <c r="B30" t="s">
        <v>102</v>
      </c>
      <c r="C30" t="s">
        <v>14</v>
      </c>
      <c r="D30" t="s">
        <v>46</v>
      </c>
      <c r="E30" t="s">
        <v>24</v>
      </c>
      <c r="F30" t="s">
        <v>72</v>
      </c>
      <c r="G30" t="s">
        <v>18</v>
      </c>
      <c r="H30" s="1">
        <v>46134</v>
      </c>
      <c r="I30">
        <v>10</v>
      </c>
      <c r="J30" t="s">
        <v>19</v>
      </c>
      <c r="K30">
        <v>92</v>
      </c>
      <c r="L30">
        <v>5</v>
      </c>
      <c r="M30" t="str">
        <f t="shared" si="0"/>
        <v>Valid</v>
      </c>
    </row>
    <row r="31" spans="1:13" x14ac:dyDescent="0.35">
      <c r="A31" t="s">
        <v>103</v>
      </c>
      <c r="B31" t="s">
        <v>104</v>
      </c>
      <c r="C31" t="s">
        <v>29</v>
      </c>
      <c r="D31" t="s">
        <v>15</v>
      </c>
      <c r="E31" t="s">
        <v>34</v>
      </c>
      <c r="F31" t="s">
        <v>31</v>
      </c>
      <c r="G31" t="s">
        <v>18</v>
      </c>
      <c r="H31" s="1">
        <v>46137</v>
      </c>
      <c r="I31">
        <v>10</v>
      </c>
      <c r="J31" t="s">
        <v>19</v>
      </c>
      <c r="K31">
        <v>86</v>
      </c>
      <c r="L31">
        <v>4</v>
      </c>
      <c r="M31" t="str">
        <f t="shared" si="0"/>
        <v>Valid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opLeftCell="C1" zoomScaleNormal="100" workbookViewId="0">
      <selection activeCell="A10" sqref="A10:L10"/>
    </sheetView>
  </sheetViews>
  <sheetFormatPr defaultRowHeight="14.5" x14ac:dyDescent="0.35"/>
  <cols>
    <col min="1" max="1" width="60.1796875" customWidth="1"/>
    <col min="2" max="2" width="22.36328125" bestFit="1" customWidth="1"/>
    <col min="4" max="4" width="15.90625" bestFit="1" customWidth="1"/>
    <col min="5" max="5" width="14.54296875" customWidth="1"/>
    <col min="6" max="6" width="26.54296875" customWidth="1"/>
    <col min="8" max="8" width="23.7265625" customWidth="1"/>
    <col min="9" max="9" width="19.7265625" customWidth="1"/>
    <col min="11" max="11" width="21.453125" bestFit="1" customWidth="1"/>
  </cols>
  <sheetData>
    <row r="1" spans="1:12" x14ac:dyDescent="0.35">
      <c r="A1" s="2" t="s">
        <v>106</v>
      </c>
      <c r="B1" s="2" t="s">
        <v>107</v>
      </c>
      <c r="D1" t="s">
        <v>2</v>
      </c>
      <c r="E1" t="s">
        <v>110</v>
      </c>
      <c r="F1" t="s">
        <v>112</v>
      </c>
      <c r="H1" t="s">
        <v>113</v>
      </c>
      <c r="I1" t="s">
        <v>111</v>
      </c>
      <c r="K1" t="s">
        <v>114</v>
      </c>
      <c r="L1" t="s">
        <v>107</v>
      </c>
    </row>
    <row r="2" spans="1:12" x14ac:dyDescent="0.35">
      <c r="A2" s="3" t="s">
        <v>108</v>
      </c>
      <c r="B2" s="4">
        <f>COUNTA(Sheet1!A2:A31)</f>
        <v>30</v>
      </c>
      <c r="D2" t="s">
        <v>14</v>
      </c>
      <c r="E2">
        <v>87.83</v>
      </c>
      <c r="F2">
        <v>4.43</v>
      </c>
      <c r="H2" t="s">
        <v>18</v>
      </c>
      <c r="I2">
        <v>141</v>
      </c>
      <c r="K2" t="s">
        <v>115</v>
      </c>
      <c r="L2">
        <v>30</v>
      </c>
    </row>
    <row r="3" spans="1:12" x14ac:dyDescent="0.35">
      <c r="A3" s="3" t="s">
        <v>109</v>
      </c>
      <c r="B3" s="4">
        <v>25</v>
      </c>
      <c r="D3" t="s">
        <v>22</v>
      </c>
      <c r="E3">
        <v>88.6</v>
      </c>
      <c r="F3">
        <v>4.2</v>
      </c>
      <c r="H3" t="s">
        <v>26</v>
      </c>
      <c r="I3">
        <v>18</v>
      </c>
      <c r="K3" t="s">
        <v>116</v>
      </c>
      <c r="L3">
        <v>30</v>
      </c>
    </row>
    <row r="4" spans="1:12" x14ac:dyDescent="0.35">
      <c r="A4" s="3" t="s">
        <v>49</v>
      </c>
      <c r="B4" s="4">
        <v>3</v>
      </c>
      <c r="D4" t="s">
        <v>29</v>
      </c>
      <c r="E4">
        <v>75.5</v>
      </c>
      <c r="F4">
        <v>3.67</v>
      </c>
      <c r="H4" t="s">
        <v>48</v>
      </c>
      <c r="I4">
        <v>42</v>
      </c>
      <c r="K4" t="s">
        <v>117</v>
      </c>
      <c r="L4">
        <v>0</v>
      </c>
    </row>
    <row r="5" spans="1:12" x14ac:dyDescent="0.35">
      <c r="A5" s="3" t="s">
        <v>67</v>
      </c>
      <c r="B5" s="4">
        <v>2</v>
      </c>
      <c r="D5" t="s">
        <v>38</v>
      </c>
      <c r="E5">
        <v>82.67</v>
      </c>
      <c r="F5">
        <v>4.17</v>
      </c>
      <c r="H5" t="s">
        <v>53</v>
      </c>
      <c r="I5">
        <v>12</v>
      </c>
      <c r="K5" t="s">
        <v>118</v>
      </c>
      <c r="L5" s="5">
        <v>1</v>
      </c>
    </row>
    <row r="6" spans="1:12" x14ac:dyDescent="0.35">
      <c r="A6" s="3" t="s">
        <v>110</v>
      </c>
      <c r="B6" s="4">
        <f>AVERAGE(Sheet1!K2:K31)</f>
        <v>79.666666666666671</v>
      </c>
      <c r="H6" t="s">
        <v>60</v>
      </c>
      <c r="I6">
        <v>8</v>
      </c>
    </row>
    <row r="7" spans="1:12" x14ac:dyDescent="0.35">
      <c r="A7" s="3" t="s">
        <v>111</v>
      </c>
      <c r="B7" s="4">
        <f>SUM(Sheet1!I2:I31)</f>
        <v>261</v>
      </c>
    </row>
    <row r="8" spans="1:12" x14ac:dyDescent="0.35">
      <c r="A8" s="3" t="s">
        <v>112</v>
      </c>
      <c r="B8" s="4">
        <f>AVERAGE(Sheet1!L2:L31)</f>
        <v>4.0666666666666664</v>
      </c>
    </row>
    <row r="9" spans="1:12" x14ac:dyDescent="0.35">
      <c r="A9" s="3"/>
      <c r="B9" s="4"/>
    </row>
    <row r="10" spans="1:12" ht="47" x14ac:dyDescent="0.35">
      <c r="A10" s="6" t="s">
        <v>119</v>
      </c>
      <c r="B10" s="4"/>
    </row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Dashboard_Data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</dc:creator>
  <cp:lastModifiedBy>varma</cp:lastModifiedBy>
  <dcterms:created xsi:type="dcterms:W3CDTF">2026-10-01T15:59:51Z</dcterms:created>
  <dcterms:modified xsi:type="dcterms:W3CDTF">2026-10-01T18:35:00Z</dcterms:modified>
</cp:coreProperties>
</file>